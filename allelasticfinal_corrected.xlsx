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ropbox\Archive\OldPapersMaterial\Collagen\"/>
    </mc:Choice>
  </mc:AlternateContent>
  <xr:revisionPtr revIDLastSave="0" documentId="13_ncr:1_{9CC25DC2-644D-4202-898B-5753E4D8A37E}" xr6:coauthVersionLast="47" xr6:coauthVersionMax="47" xr10:uidLastSave="{00000000-0000-0000-0000-000000000000}"/>
  <bookViews>
    <workbookView xWindow="26388" yWindow="1512" windowWidth="17280" windowHeight="8964" xr2:uid="{59BB6EA0-1E6D-46AB-8BC0-77FA98F497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J11" i="1"/>
  <c r="H11" i="1"/>
  <c r="G11" i="1"/>
  <c r="E3" i="1"/>
  <c r="E7" i="1"/>
  <c r="E5" i="1"/>
  <c r="J17" i="1"/>
  <c r="H17" i="1"/>
  <c r="G17" i="1"/>
  <c r="K7" i="1"/>
  <c r="H7" i="1"/>
</calcChain>
</file>

<file path=xl/sharedStrings.xml><?xml version="1.0" encoding="utf-8"?>
<sst xmlns="http://schemas.openxmlformats.org/spreadsheetml/2006/main" count="106" uniqueCount="62">
  <si>
    <t>NE</t>
  </si>
  <si>
    <t>ME</t>
  </si>
  <si>
    <t>SE</t>
  </si>
  <si>
    <t>NC</t>
  </si>
  <si>
    <t>MC</t>
  </si>
  <si>
    <t>SC</t>
  </si>
  <si>
    <t>Notes</t>
  </si>
  <si>
    <t>Bolke 2019</t>
  </si>
  <si>
    <t>Industry</t>
  </si>
  <si>
    <t>unit</t>
  </si>
  <si>
    <t>Cutometer MPA 580</t>
  </si>
  <si>
    <t>R2</t>
  </si>
  <si>
    <t>sponsor</t>
  </si>
  <si>
    <t>suction</t>
  </si>
  <si>
    <t>Not Industry</t>
  </si>
  <si>
    <t>Cutometer  model</t>
  </si>
  <si>
    <t>Unitless</t>
  </si>
  <si>
    <t>czaka 2018</t>
  </si>
  <si>
    <t>SkinLab USB Elasticity Module</t>
  </si>
  <si>
    <t>Mpa</t>
  </si>
  <si>
    <t xml:space="preserve">Industry </t>
  </si>
  <si>
    <t>used SEM, cheeky</t>
  </si>
  <si>
    <t>Mpa (mislabelled)</t>
  </si>
  <si>
    <t>industry</t>
  </si>
  <si>
    <t>Cutomater SEM575</t>
  </si>
  <si>
    <t>Cutometer MPA580</t>
  </si>
  <si>
    <t>PERCENTAGE BOLLOX</t>
  </si>
  <si>
    <t>Cutometer CT580+MPA580;</t>
  </si>
  <si>
    <t>R5</t>
  </si>
  <si>
    <t>R7</t>
  </si>
  <si>
    <t>schwarz 2019</t>
  </si>
  <si>
    <t>shugihara2015</t>
  </si>
  <si>
    <t>Cutometer 575</t>
  </si>
  <si>
    <t>Yoon 2014</t>
  </si>
  <si>
    <t>zmitek 2020</t>
  </si>
  <si>
    <t>PERCENTAGE BOLLOX - same stupid error</t>
  </si>
  <si>
    <t>di cerbo 2014</t>
  </si>
  <si>
    <t xml:space="preserve">skin tester </t>
  </si>
  <si>
    <t>percent?</t>
  </si>
  <si>
    <t>used wrong placebo control n</t>
  </si>
  <si>
    <t>miyanaga 2021</t>
  </si>
  <si>
    <t>Cutometer model</t>
  </si>
  <si>
    <t>campos</t>
  </si>
  <si>
    <t>Cutometer SEM 575</t>
  </si>
  <si>
    <t>study</t>
  </si>
  <si>
    <t>method</t>
  </si>
  <si>
    <t>dose</t>
  </si>
  <si>
    <t>Time</t>
  </si>
  <si>
    <t>Suction</t>
  </si>
  <si>
    <t>Pressure</t>
  </si>
  <si>
    <t>ma1</t>
  </si>
  <si>
    <t>ma2</t>
  </si>
  <si>
    <t>tak 2021</t>
  </si>
  <si>
    <t>mm</t>
  </si>
  <si>
    <t>choi 2014 (checked)</t>
  </si>
  <si>
    <t>genovase 2017 (fixed)</t>
  </si>
  <si>
    <t>Inno 2016 (fixed)</t>
  </si>
  <si>
    <t>Nometo 2020 (fixed)</t>
  </si>
  <si>
    <t>Ito 2018 (fixed)</t>
  </si>
  <si>
    <t>sangsuwan 2020 (fixed)</t>
  </si>
  <si>
    <t>kim 2018 (fixed data err)</t>
  </si>
  <si>
    <t>koizuma 2018 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</si>
</sst>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3EFD-3F6E-45F2-96BB-5AB59919420F}">
  <dimension ref="A1:S19"/>
  <sheetViews>
    <sheetView tabSelected="1" workbookViewId="0">
      <selection activeCell="A11" sqref="A11"/>
    </sheetView>
  </sheetViews>
  <sheetFormatPr defaultRowHeight="14.4" x14ac:dyDescent="0.3"/>
  <cols>
    <col min="1" max="1" width="24.88671875" customWidth="1"/>
    <col min="2" max="2" width="24.33203125" customWidth="1"/>
    <col min="3" max="3" width="21.44140625" customWidth="1"/>
    <col min="12" max="12" width="23.44140625" customWidth="1"/>
    <col min="13" max="13" width="14.77734375" customWidth="1"/>
    <col min="14" max="17" width="21.44140625" customWidth="1"/>
    <col min="18" max="18" width="26" customWidth="1"/>
  </cols>
  <sheetData>
    <row r="1" spans="1:19" x14ac:dyDescent="0.3">
      <c r="A1" t="s">
        <v>44</v>
      </c>
      <c r="B1" t="s">
        <v>45</v>
      </c>
      <c r="C1" t="s">
        <v>46</v>
      </c>
      <c r="D1" t="s">
        <v>9</v>
      </c>
      <c r="E1" t="s">
        <v>47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12</v>
      </c>
      <c r="N1" t="s">
        <v>48</v>
      </c>
      <c r="O1" t="s">
        <v>49</v>
      </c>
      <c r="P1" t="s">
        <v>50</v>
      </c>
      <c r="Q1" t="s">
        <v>51</v>
      </c>
    </row>
    <row r="2" spans="1:19" x14ac:dyDescent="0.3">
      <c r="A2" s="1" t="s">
        <v>7</v>
      </c>
      <c r="B2" t="s">
        <v>10</v>
      </c>
      <c r="C2">
        <v>2.5</v>
      </c>
      <c r="D2" t="s">
        <v>16</v>
      </c>
      <c r="E2">
        <v>12</v>
      </c>
      <c r="F2">
        <v>36</v>
      </c>
      <c r="G2">
        <v>0.81</v>
      </c>
      <c r="H2">
        <v>0.04</v>
      </c>
      <c r="I2">
        <v>36</v>
      </c>
      <c r="J2">
        <v>0.75</v>
      </c>
      <c r="K2">
        <v>0.06</v>
      </c>
      <c r="L2" t="s">
        <v>11</v>
      </c>
      <c r="M2" t="s">
        <v>8</v>
      </c>
      <c r="N2">
        <v>1</v>
      </c>
      <c r="O2">
        <v>0</v>
      </c>
      <c r="P2">
        <v>1</v>
      </c>
      <c r="Q2">
        <v>1</v>
      </c>
      <c r="R2" t="s">
        <v>13</v>
      </c>
    </row>
    <row r="3" spans="1:19" x14ac:dyDescent="0.3">
      <c r="A3" s="1" t="s">
        <v>42</v>
      </c>
      <c r="B3" t="s">
        <v>43</v>
      </c>
      <c r="C3">
        <v>10</v>
      </c>
      <c r="E3">
        <f>90/7</f>
        <v>12.857142857142858</v>
      </c>
      <c r="F3">
        <v>30</v>
      </c>
      <c r="G3">
        <v>0.53</v>
      </c>
      <c r="H3">
        <v>0.04</v>
      </c>
      <c r="I3">
        <v>30</v>
      </c>
      <c r="J3">
        <v>0.45600000000000002</v>
      </c>
      <c r="K3">
        <v>2.5999999999999999E-2</v>
      </c>
      <c r="L3" t="s">
        <v>28</v>
      </c>
      <c r="M3" t="s">
        <v>14</v>
      </c>
      <c r="N3">
        <v>1</v>
      </c>
      <c r="O3">
        <v>0</v>
      </c>
      <c r="P3">
        <v>0</v>
      </c>
      <c r="Q3">
        <v>1</v>
      </c>
    </row>
    <row r="4" spans="1:19" x14ac:dyDescent="0.3">
      <c r="A4" s="1" t="s">
        <v>54</v>
      </c>
      <c r="B4" t="s">
        <v>15</v>
      </c>
      <c r="C4">
        <v>3</v>
      </c>
      <c r="D4" t="s">
        <v>16</v>
      </c>
      <c r="E4">
        <v>12</v>
      </c>
      <c r="F4">
        <v>8</v>
      </c>
      <c r="G4">
        <v>0.78600000000000003</v>
      </c>
      <c r="H4">
        <v>5.3999999999999999E-2</v>
      </c>
      <c r="I4">
        <v>8</v>
      </c>
      <c r="J4">
        <v>0.71799999999999997</v>
      </c>
      <c r="K4">
        <v>1.7000000000000001E-2</v>
      </c>
      <c r="L4" t="s">
        <v>11</v>
      </c>
      <c r="M4" t="s">
        <v>14</v>
      </c>
      <c r="N4">
        <v>1</v>
      </c>
      <c r="O4">
        <v>0</v>
      </c>
      <c r="P4">
        <v>1</v>
      </c>
      <c r="Q4">
        <v>1</v>
      </c>
    </row>
    <row r="5" spans="1:19" x14ac:dyDescent="0.3">
      <c r="A5" s="1" t="s">
        <v>17</v>
      </c>
      <c r="B5" t="s">
        <v>18</v>
      </c>
      <c r="C5">
        <v>4</v>
      </c>
      <c r="D5" t="s">
        <v>19</v>
      </c>
      <c r="E5">
        <f>90/7</f>
        <v>12.857142857142858</v>
      </c>
      <c r="F5">
        <v>69</v>
      </c>
      <c r="G5">
        <v>9.8000000000000007</v>
      </c>
      <c r="H5">
        <v>0.2</v>
      </c>
      <c r="I5">
        <v>59</v>
      </c>
      <c r="J5">
        <v>7.9</v>
      </c>
      <c r="K5">
        <v>0.2</v>
      </c>
      <c r="M5" t="s">
        <v>20</v>
      </c>
      <c r="N5">
        <v>0</v>
      </c>
      <c r="O5">
        <v>1</v>
      </c>
      <c r="P5">
        <v>1</v>
      </c>
      <c r="Q5">
        <v>1</v>
      </c>
    </row>
    <row r="6" spans="1:19" x14ac:dyDescent="0.3">
      <c r="A6" s="1" t="s">
        <v>36</v>
      </c>
      <c r="B6" t="s">
        <v>37</v>
      </c>
      <c r="C6">
        <v>0.248</v>
      </c>
      <c r="D6" t="s">
        <v>38</v>
      </c>
      <c r="E6">
        <v>2</v>
      </c>
      <c r="F6">
        <v>15</v>
      </c>
      <c r="G6">
        <v>25.3</v>
      </c>
      <c r="H6">
        <v>1.369</v>
      </c>
      <c r="I6">
        <v>15</v>
      </c>
      <c r="J6">
        <v>24.7</v>
      </c>
      <c r="K6">
        <v>0.86699999999999999</v>
      </c>
      <c r="M6" t="s">
        <v>14</v>
      </c>
      <c r="N6">
        <v>0</v>
      </c>
      <c r="O6">
        <v>0</v>
      </c>
      <c r="P6">
        <v>0</v>
      </c>
      <c r="Q6">
        <v>1</v>
      </c>
    </row>
    <row r="7" spans="1:19" x14ac:dyDescent="0.3">
      <c r="A7" s="2" t="s">
        <v>55</v>
      </c>
      <c r="B7" t="s">
        <v>18</v>
      </c>
      <c r="C7">
        <v>5</v>
      </c>
      <c r="D7" t="s">
        <v>19</v>
      </c>
      <c r="E7">
        <f>90/7</f>
        <v>12.857142857142858</v>
      </c>
      <c r="F7">
        <v>60</v>
      </c>
      <c r="G7">
        <v>8.07</v>
      </c>
      <c r="H7">
        <f>SQRT(60)*0.2</f>
        <v>1.5491933384829668</v>
      </c>
      <c r="I7">
        <v>60</v>
      </c>
      <c r="J7">
        <v>7.52</v>
      </c>
      <c r="K7">
        <f>SQRT(60)*0.2</f>
        <v>1.5491933384829668</v>
      </c>
      <c r="L7" t="s">
        <v>22</v>
      </c>
      <c r="M7" t="s">
        <v>20</v>
      </c>
      <c r="N7">
        <v>0</v>
      </c>
      <c r="O7">
        <v>1</v>
      </c>
      <c r="P7">
        <v>1</v>
      </c>
      <c r="Q7">
        <v>1</v>
      </c>
      <c r="R7" t="s">
        <v>21</v>
      </c>
    </row>
    <row r="8" spans="1:19" x14ac:dyDescent="0.3">
      <c r="A8" s="2" t="s">
        <v>56</v>
      </c>
      <c r="B8" t="s">
        <v>24</v>
      </c>
      <c r="C8">
        <v>5</v>
      </c>
      <c r="D8" t="s">
        <v>16</v>
      </c>
      <c r="E8">
        <v>8</v>
      </c>
      <c r="F8">
        <v>54</v>
      </c>
      <c r="G8">
        <v>0.75800000000000001</v>
      </c>
      <c r="H8">
        <v>4.4999999999999998E-2</v>
      </c>
      <c r="I8">
        <v>26</v>
      </c>
      <c r="J8">
        <v>0.73799999999999999</v>
      </c>
      <c r="K8">
        <v>5.8000000000000003E-2</v>
      </c>
      <c r="L8" t="s">
        <v>11</v>
      </c>
      <c r="M8" t="s">
        <v>23</v>
      </c>
      <c r="N8">
        <v>1</v>
      </c>
      <c r="O8">
        <v>0</v>
      </c>
      <c r="P8">
        <v>1</v>
      </c>
      <c r="Q8">
        <v>1</v>
      </c>
    </row>
    <row r="9" spans="1:19" x14ac:dyDescent="0.3">
      <c r="A9" s="2" t="s">
        <v>58</v>
      </c>
      <c r="B9" t="s">
        <v>25</v>
      </c>
      <c r="C9">
        <v>10</v>
      </c>
      <c r="D9" t="s">
        <v>16</v>
      </c>
      <c r="E9">
        <v>8</v>
      </c>
      <c r="F9">
        <v>10</v>
      </c>
      <c r="G9">
        <v>0.78400000000000003</v>
      </c>
      <c r="H9">
        <v>7.0000000000000007E-2</v>
      </c>
      <c r="I9">
        <v>11</v>
      </c>
      <c r="J9">
        <v>0.77900000000000003</v>
      </c>
      <c r="K9">
        <v>0.06</v>
      </c>
      <c r="L9" t="s">
        <v>11</v>
      </c>
      <c r="M9" t="s">
        <v>23</v>
      </c>
      <c r="N9">
        <v>1</v>
      </c>
      <c r="O9">
        <v>0</v>
      </c>
      <c r="P9">
        <v>1</v>
      </c>
      <c r="Q9">
        <v>1</v>
      </c>
    </row>
    <row r="10" spans="1:19" x14ac:dyDescent="0.3">
      <c r="A10" t="s">
        <v>60</v>
      </c>
      <c r="B10" t="s">
        <v>10</v>
      </c>
      <c r="C10">
        <v>1</v>
      </c>
      <c r="E10">
        <v>12</v>
      </c>
      <c r="F10">
        <v>33</v>
      </c>
      <c r="G10">
        <v>0.76</v>
      </c>
      <c r="H10">
        <v>0.06</v>
      </c>
      <c r="I10">
        <v>31</v>
      </c>
      <c r="J10">
        <v>0.73</v>
      </c>
      <c r="K10">
        <v>0.09</v>
      </c>
      <c r="L10" t="s">
        <v>11</v>
      </c>
      <c r="M10" t="s">
        <v>23</v>
      </c>
      <c r="N10">
        <v>1</v>
      </c>
      <c r="O10">
        <v>0</v>
      </c>
      <c r="P10">
        <v>0</v>
      </c>
      <c r="Q10">
        <v>1</v>
      </c>
      <c r="S10" t="s">
        <v>39</v>
      </c>
    </row>
    <row r="11" spans="1:19" x14ac:dyDescent="0.3">
      <c r="A11" t="s">
        <v>61</v>
      </c>
      <c r="B11" t="s">
        <v>25</v>
      </c>
      <c r="C11">
        <v>3</v>
      </c>
      <c r="D11" t="s">
        <v>16</v>
      </c>
      <c r="E11">
        <v>12</v>
      </c>
      <c r="F11">
        <v>37</v>
      </c>
      <c r="G11">
        <f>0.73*1.0432</f>
        <v>0.76153599999999988</v>
      </c>
      <c r="H11">
        <f>0.007*1.00534</f>
        <v>7.0373799999999993E-3</v>
      </c>
      <c r="I11">
        <v>34</v>
      </c>
      <c r="J11">
        <f>0.736*(1.00938)</f>
        <v>0.74290367999999996</v>
      </c>
      <c r="K11">
        <f>0.008*1.0677</f>
        <v>8.5416000000000016E-3</v>
      </c>
      <c r="L11" t="s">
        <v>11</v>
      </c>
      <c r="M11" t="s">
        <v>23</v>
      </c>
      <c r="N11">
        <v>1</v>
      </c>
      <c r="O11">
        <v>0</v>
      </c>
      <c r="P11">
        <v>1</v>
      </c>
      <c r="Q11">
        <v>1</v>
      </c>
      <c r="R11" t="s">
        <v>26</v>
      </c>
    </row>
    <row r="12" spans="1:19" x14ac:dyDescent="0.3">
      <c r="A12" s="1" t="s">
        <v>40</v>
      </c>
      <c r="B12" t="s">
        <v>41</v>
      </c>
      <c r="C12">
        <v>5</v>
      </c>
      <c r="E12">
        <v>12</v>
      </c>
      <c r="F12">
        <v>33</v>
      </c>
      <c r="G12">
        <v>0.84</v>
      </c>
      <c r="H12">
        <v>4.3999999999999997E-2</v>
      </c>
      <c r="I12">
        <v>33</v>
      </c>
      <c r="J12">
        <v>0.81599999999999995</v>
      </c>
      <c r="K12">
        <v>4.3999999999999997E-2</v>
      </c>
      <c r="L12" t="s">
        <v>11</v>
      </c>
      <c r="M12" t="s">
        <v>23</v>
      </c>
      <c r="N12">
        <v>1</v>
      </c>
      <c r="O12">
        <v>0</v>
      </c>
      <c r="P12">
        <v>0</v>
      </c>
      <c r="Q12">
        <v>1</v>
      </c>
    </row>
    <row r="13" spans="1:19" x14ac:dyDescent="0.3">
      <c r="A13" s="2" t="s">
        <v>57</v>
      </c>
      <c r="B13" t="s">
        <v>27</v>
      </c>
      <c r="C13">
        <v>10</v>
      </c>
      <c r="D13" t="s">
        <v>16</v>
      </c>
      <c r="E13">
        <v>8</v>
      </c>
      <c r="F13">
        <v>20</v>
      </c>
      <c r="G13">
        <v>0.74</v>
      </c>
      <c r="H13">
        <v>0.06</v>
      </c>
      <c r="I13">
        <v>19</v>
      </c>
      <c r="J13">
        <v>0.66</v>
      </c>
      <c r="K13">
        <v>7.0000000000000007E-2</v>
      </c>
      <c r="L13" t="s">
        <v>11</v>
      </c>
      <c r="M13" t="s">
        <v>23</v>
      </c>
      <c r="N13">
        <v>1</v>
      </c>
      <c r="O13">
        <v>0</v>
      </c>
      <c r="P13">
        <v>1</v>
      </c>
      <c r="Q13">
        <v>1</v>
      </c>
    </row>
    <row r="14" spans="1:19" x14ac:dyDescent="0.3">
      <c r="A14" s="2" t="s">
        <v>59</v>
      </c>
      <c r="B14" t="s">
        <v>10</v>
      </c>
      <c r="C14">
        <v>5</v>
      </c>
      <c r="D14" t="s">
        <v>16</v>
      </c>
      <c r="E14">
        <v>8</v>
      </c>
      <c r="F14">
        <v>17</v>
      </c>
      <c r="G14">
        <v>0.56000000000000005</v>
      </c>
      <c r="H14">
        <v>0.11</v>
      </c>
      <c r="I14">
        <v>19</v>
      </c>
      <c r="J14">
        <v>0.48</v>
      </c>
      <c r="K14">
        <v>0.08</v>
      </c>
      <c r="L14" t="s">
        <v>29</v>
      </c>
      <c r="M14" t="s">
        <v>14</v>
      </c>
      <c r="N14">
        <v>1</v>
      </c>
      <c r="O14">
        <v>0</v>
      </c>
      <c r="P14">
        <v>1</v>
      </c>
      <c r="Q14">
        <v>1</v>
      </c>
    </row>
    <row r="15" spans="1:19" x14ac:dyDescent="0.3">
      <c r="A15" s="1" t="s">
        <v>30</v>
      </c>
      <c r="B15" t="s">
        <v>10</v>
      </c>
      <c r="C15">
        <v>0.3</v>
      </c>
      <c r="D15" t="s">
        <v>16</v>
      </c>
      <c r="E15">
        <v>12</v>
      </c>
      <c r="F15">
        <v>58</v>
      </c>
      <c r="G15">
        <v>0.4</v>
      </c>
      <c r="H15">
        <v>0.08</v>
      </c>
      <c r="I15">
        <v>55</v>
      </c>
      <c r="J15">
        <v>0.34</v>
      </c>
      <c r="K15">
        <v>0.15</v>
      </c>
      <c r="L15" t="s">
        <v>28</v>
      </c>
      <c r="M15" t="s">
        <v>23</v>
      </c>
      <c r="N15">
        <v>1</v>
      </c>
      <c r="O15">
        <v>0</v>
      </c>
      <c r="P15">
        <v>1</v>
      </c>
      <c r="Q15">
        <v>1</v>
      </c>
    </row>
    <row r="16" spans="1:19" x14ac:dyDescent="0.3">
      <c r="A16" s="1" t="s">
        <v>31</v>
      </c>
      <c r="B16" t="s">
        <v>32</v>
      </c>
      <c r="C16">
        <v>2.5</v>
      </c>
      <c r="D16" t="s">
        <v>16</v>
      </c>
      <c r="E16">
        <v>8</v>
      </c>
      <c r="F16">
        <v>26</v>
      </c>
      <c r="G16">
        <v>0.75800000000000001</v>
      </c>
      <c r="H16">
        <v>0.109</v>
      </c>
      <c r="I16">
        <v>27</v>
      </c>
      <c r="J16">
        <v>0.69699999999999995</v>
      </c>
      <c r="K16">
        <v>8.6999999999999994E-2</v>
      </c>
      <c r="L16" t="s">
        <v>11</v>
      </c>
      <c r="M16" t="s">
        <v>23</v>
      </c>
      <c r="N16">
        <v>1</v>
      </c>
      <c r="O16">
        <v>0</v>
      </c>
      <c r="P16">
        <v>1</v>
      </c>
      <c r="Q16">
        <v>1</v>
      </c>
    </row>
    <row r="17" spans="1:18" x14ac:dyDescent="0.3">
      <c r="A17" s="1" t="s">
        <v>33</v>
      </c>
      <c r="B17" t="s">
        <v>10</v>
      </c>
      <c r="C17">
        <v>0.75</v>
      </c>
      <c r="D17" t="s">
        <v>16</v>
      </c>
      <c r="E17">
        <v>12</v>
      </c>
      <c r="F17">
        <v>22</v>
      </c>
      <c r="G17">
        <f>0.6097*1.0252</f>
        <v>0.62506443999999994</v>
      </c>
      <c r="H17">
        <f>0.0556</f>
        <v>5.5599999999999997E-2</v>
      </c>
      <c r="I17">
        <v>22</v>
      </c>
      <c r="J17">
        <f>0.6446*(1-0.0294)</f>
        <v>0.62564875999999991</v>
      </c>
      <c r="K17">
        <v>6.7500000000000004E-2</v>
      </c>
      <c r="L17" t="s">
        <v>11</v>
      </c>
      <c r="M17" t="s">
        <v>23</v>
      </c>
      <c r="N17">
        <v>1</v>
      </c>
      <c r="O17">
        <v>0</v>
      </c>
      <c r="P17">
        <v>1</v>
      </c>
      <c r="Q17">
        <v>1</v>
      </c>
      <c r="R17" t="s">
        <v>35</v>
      </c>
    </row>
    <row r="18" spans="1:18" x14ac:dyDescent="0.3">
      <c r="A18" s="1" t="s">
        <v>34</v>
      </c>
      <c r="B18" t="s">
        <v>18</v>
      </c>
      <c r="C18">
        <v>4</v>
      </c>
      <c r="D18" t="s">
        <v>19</v>
      </c>
      <c r="E18">
        <v>12</v>
      </c>
      <c r="F18">
        <v>16</v>
      </c>
      <c r="G18">
        <v>1.38</v>
      </c>
      <c r="H18">
        <v>0.33</v>
      </c>
      <c r="I18">
        <v>15</v>
      </c>
      <c r="J18">
        <v>1.59</v>
      </c>
      <c r="K18">
        <v>0.68</v>
      </c>
      <c r="L18" t="s">
        <v>19</v>
      </c>
      <c r="M18" t="s">
        <v>14</v>
      </c>
      <c r="N18">
        <v>0</v>
      </c>
      <c r="O18">
        <v>1</v>
      </c>
      <c r="P18">
        <v>1</v>
      </c>
      <c r="Q18">
        <v>1</v>
      </c>
    </row>
    <row r="19" spans="1:18" x14ac:dyDescent="0.3">
      <c r="A19" s="1" t="s">
        <v>52</v>
      </c>
      <c r="B19" t="s">
        <v>25</v>
      </c>
      <c r="C19">
        <v>1</v>
      </c>
      <c r="D19" t="s">
        <v>53</v>
      </c>
      <c r="E19">
        <v>12</v>
      </c>
      <c r="F19">
        <v>36</v>
      </c>
      <c r="G19">
        <v>0.33</v>
      </c>
      <c r="H19">
        <v>0.1</v>
      </c>
      <c r="I19">
        <v>38</v>
      </c>
      <c r="J19">
        <v>0.36</v>
      </c>
      <c r="K19">
        <v>0.09</v>
      </c>
      <c r="M19" t="s">
        <v>14</v>
      </c>
      <c r="N19">
        <v>1</v>
      </c>
      <c r="O19">
        <v>0</v>
      </c>
      <c r="P19">
        <v>0</v>
      </c>
      <c r="Q19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DRG</dc:creator>
  <cp:lastModifiedBy>DRG</cp:lastModifiedBy>
  <dcterms:created xsi:type="dcterms:W3CDTF">2025-05-15T20:07:58Z</dcterms:created>
  <dcterms:modified xsi:type="dcterms:W3CDTF">2026-10-15T11:08:27Z</dcterms:modified>
</cp:coreProperties>
</file>